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EF4CF107-F554-4459-8768-1B77030D56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ja" sheetId="1" r:id="rId1"/>
  </sheets>
  <definedNames>
    <definedName name="_xlnm._FilterDatabase" localSheetId="0" hidden="1">Caja!$A$1:$H$35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13" i="1"/>
</calcChain>
</file>

<file path=xl/sharedStrings.xml><?xml version="1.0" encoding="utf-8"?>
<sst xmlns="http://schemas.openxmlformats.org/spreadsheetml/2006/main" count="165" uniqueCount="77">
  <si>
    <t>Nombre del envase</t>
  </si>
  <si>
    <t>Pomadera opaca 50gr con liner</t>
  </si>
  <si>
    <t>De 5L</t>
  </si>
  <si>
    <t>Tipo de envase</t>
  </si>
  <si>
    <t>Pomos Env</t>
  </si>
  <si>
    <t>Transparentes Clasicos</t>
  </si>
  <si>
    <t>Formato</t>
  </si>
  <si>
    <t>1 L</t>
  </si>
  <si>
    <t>Proveedor</t>
  </si>
  <si>
    <t>Cantidad</t>
  </si>
  <si>
    <t>Almacen</t>
  </si>
  <si>
    <t>Planta</t>
  </si>
  <si>
    <t>Nuevos Transparentes</t>
  </si>
  <si>
    <t>PET ENV</t>
  </si>
  <si>
    <t>ENV</t>
  </si>
  <si>
    <t>Blancos</t>
  </si>
  <si>
    <t xml:space="preserve">Transparentes rectangular </t>
  </si>
  <si>
    <t>Pomos Negros</t>
  </si>
  <si>
    <t xml:space="preserve">Negros </t>
  </si>
  <si>
    <t>Pomos Bajitos</t>
  </si>
  <si>
    <t xml:space="preserve">Transparentes </t>
  </si>
  <si>
    <t>Pomos Eco</t>
  </si>
  <si>
    <t>5 L</t>
  </si>
  <si>
    <t>120 ml</t>
  </si>
  <si>
    <t>150 ml</t>
  </si>
  <si>
    <t>330 mL</t>
  </si>
  <si>
    <t>240 mL</t>
  </si>
  <si>
    <t>Pomadera opaca con liner</t>
  </si>
  <si>
    <t>60ml</t>
  </si>
  <si>
    <t>Botella oval transp. c/t disc top</t>
  </si>
  <si>
    <t xml:space="preserve">Botella oval transp. Con dosificador </t>
  </si>
  <si>
    <t xml:space="preserve">Depresible blanco c/t FlipTop </t>
  </si>
  <si>
    <t>Depresible blanco c/t FlipTop</t>
  </si>
  <si>
    <t>Botella oval transp. Con dosific</t>
  </si>
  <si>
    <t>Grandes tipo tanque</t>
  </si>
  <si>
    <t>20 L</t>
  </si>
  <si>
    <t xml:space="preserve">Azules </t>
  </si>
  <si>
    <t>120 mL</t>
  </si>
  <si>
    <t>1.5L</t>
  </si>
  <si>
    <t>Costo</t>
  </si>
  <si>
    <t xml:space="preserve">500 mL </t>
  </si>
  <si>
    <t xml:space="preserve">240 mL </t>
  </si>
  <si>
    <t xml:space="preserve">40 mL </t>
  </si>
  <si>
    <t xml:space="preserve">350 mL </t>
  </si>
  <si>
    <t>Atomizadoras</t>
  </si>
  <si>
    <t>De madera chiquitas</t>
  </si>
  <si>
    <t>De madera estrechas</t>
  </si>
  <si>
    <t>De madera cuadradas</t>
  </si>
  <si>
    <t>De madera medianas</t>
  </si>
  <si>
    <t>De madera grandes</t>
  </si>
  <si>
    <t>Cajas Azules</t>
  </si>
  <si>
    <t>Cajas negras</t>
  </si>
  <si>
    <t>N</t>
  </si>
  <si>
    <t>Pomos PET</t>
  </si>
  <si>
    <t>Pomos PET Diferente</t>
  </si>
  <si>
    <t>Pomos PAT</t>
  </si>
  <si>
    <t>Caja Madera Chi</t>
  </si>
  <si>
    <t>Caja Madera Cu</t>
  </si>
  <si>
    <t>Ambar</t>
  </si>
  <si>
    <t xml:space="preserve">Ecologicos </t>
  </si>
  <si>
    <t>Pomo tipo refresco</t>
  </si>
  <si>
    <t>PET chicos</t>
  </si>
  <si>
    <t>Tapas a presion tipo aceite</t>
  </si>
  <si>
    <t>Tapas pomos chiquitos</t>
  </si>
  <si>
    <t>Rojas 28mm</t>
  </si>
  <si>
    <t>PET de presion</t>
  </si>
  <si>
    <t>Chiquitas redondas</t>
  </si>
  <si>
    <t>Caja Madera Est</t>
  </si>
  <si>
    <t>Caja Madera Med</t>
  </si>
  <si>
    <t>Caja Madera Gr</t>
  </si>
  <si>
    <t>Caja Plastica s/tapa</t>
  </si>
  <si>
    <t>Caja Plastica c/tapa</t>
  </si>
  <si>
    <t>Pomos chicos transparentes</t>
  </si>
  <si>
    <t xml:space="preserve">Pomos medianos transparentes </t>
  </si>
  <si>
    <t>Cajas Plasticas c/t</t>
  </si>
  <si>
    <t>ENVASE DE 750 ML</t>
  </si>
  <si>
    <t>750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</si>
</sst>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2" fillId="2" borderId="1" xfId="1" applyFont="1" applyFill="1" applyBorder="1" applyAlignment="1">
      <alignment vertical="center" wrapText="1"/>
    </xf>
    <xf numFmtId="0" fontId="0" fillId="2" borderId="1" xfId="0" applyFill="1" applyBorder="1"/>
    <xf numFmtId="2" fontId="0" fillId="2" borderId="1" xfId="0" applyNumberFormat="1" applyFill="1" applyBorder="1"/>
    <xf numFmtId="0" fontId="1" fillId="2" borderId="1" xfId="1" applyFill="1" applyBorder="1"/>
    <xf numFmtId="0" fontId="0" fillId="2" borderId="0" xfId="0" applyFill="1"/>
    <xf numFmtId="0" fontId="0" fillId="2" borderId="0" xfId="1" applyFont="1" applyFill="1" applyAlignment="1">
      <alignment vertical="center"/>
    </xf>
    <xf numFmtId="0" fontId="1" fillId="2" borderId="1" xfId="1" applyFill="1" applyBorder="1" applyAlignment="1">
      <alignment vertical="center" wrapText="1"/>
    </xf>
    <xf numFmtId="0" fontId="0" fillId="2" borderId="1" xfId="0" applyFont="1" applyFill="1" applyBorder="1"/>
    <xf numFmtId="0" fontId="1" fillId="2" borderId="1" xfId="1" applyFill="1" applyBorder="1" applyAlignment="1">
      <alignment wrapText="1"/>
    </xf>
    <xf numFmtId="0" fontId="0" fillId="2" borderId="1" xfId="1" applyFont="1" applyFill="1" applyBorder="1" applyAlignment="1">
      <alignment wrapText="1"/>
    </xf>
    <xf numFmtId="0" fontId="2" fillId="2" borderId="1" xfId="1" applyFont="1" applyFill="1" applyBorder="1" applyAlignment="1">
      <alignment vertical="center"/>
    </xf>
    <xf numFmtId="164" fontId="0" fillId="0" borderId="1" xfId="0" applyNumberFormat="1" applyBorder="1"/>
  </cellXfs>
  <cellStyles count="2">
    <cellStyle name="Normal" xfId="0" builtinId="0"/>
    <cellStyle name="Normal 2" xfId="1" xr:uid="{F71182F6-414D-4AAD-A807-BADE49655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5"/>
  <sheetViews>
    <sheetView tabSelected="1" topLeftCell="A20" workbookViewId="0">
      <selection activeCell="A36" sqref="A36:XFD36"/>
    </sheetView>
  </sheetViews>
  <sheetFormatPr baseColWidth="10" defaultRowHeight="15" x14ac:dyDescent="0.25"/>
  <cols>
    <col min="1" max="1" width="6.42578125" customWidth="1"/>
    <col min="2" max="2" width="35.140625" style="1" customWidth="1"/>
    <col min="3" max="3" width="31" customWidth="1"/>
    <col min="4" max="4" width="18.5703125" bestFit="1" customWidth="1"/>
    <col min="5" max="5" width="18.5703125" customWidth="1"/>
    <col min="6" max="6" width="11.42578125" style="5"/>
  </cols>
  <sheetData>
    <row r="1" spans="2:10" x14ac:dyDescent="0.25">
      <c r="B1" s="2" t="s">
        <v>0</v>
      </c>
      <c r="C1" s="3" t="s">
        <v>3</v>
      </c>
      <c r="D1" s="3" t="s">
        <v>6</v>
      </c>
      <c r="E1" s="3" t="s">
        <v>8</v>
      </c>
      <c r="F1" s="4" t="s">
        <v>39</v>
      </c>
      <c r="G1" s="3" t="s">
        <v>9</v>
      </c>
      <c r="H1" s="3" t="s">
        <v>10</v>
      </c>
    </row>
    <row r="2" spans="2:10" s="10" customFormat="1" x14ac:dyDescent="0.25">
      <c r="B2" s="6" t="s">
        <v>5</v>
      </c>
      <c r="C2" s="7" t="s">
        <v>53</v>
      </c>
      <c r="D2" s="7" t="s">
        <v>7</v>
      </c>
      <c r="E2" s="7" t="s">
        <v>52</v>
      </c>
      <c r="F2" s="8">
        <v>0.17</v>
      </c>
      <c r="G2" s="9">
        <v>10527</v>
      </c>
      <c r="H2" s="9" t="s">
        <v>11</v>
      </c>
      <c r="J2"/>
    </row>
    <row r="3" spans="2:10" s="10" customFormat="1" x14ac:dyDescent="0.25">
      <c r="B3" s="6" t="s">
        <v>12</v>
      </c>
      <c r="C3" s="7" t="s">
        <v>53</v>
      </c>
      <c r="D3" s="7" t="s">
        <v>7</v>
      </c>
      <c r="E3" s="7" t="s">
        <v>52</v>
      </c>
      <c r="F3" s="8">
        <v>0.17</v>
      </c>
      <c r="G3" s="9">
        <v>153</v>
      </c>
      <c r="H3" s="9" t="s">
        <v>11</v>
      </c>
    </row>
    <row r="4" spans="2:10" s="10" customFormat="1" x14ac:dyDescent="0.25">
      <c r="B4" s="6" t="s">
        <v>13</v>
      </c>
      <c r="C4" s="7" t="s">
        <v>4</v>
      </c>
      <c r="D4" s="7" t="s">
        <v>7</v>
      </c>
      <c r="E4" s="7" t="s">
        <v>14</v>
      </c>
      <c r="F4" s="8">
        <v>0.17</v>
      </c>
      <c r="G4" s="9">
        <v>235</v>
      </c>
      <c r="H4" s="9" t="s">
        <v>11</v>
      </c>
    </row>
    <row r="5" spans="2:10" s="10" customFormat="1" x14ac:dyDescent="0.25">
      <c r="B5" s="6" t="s">
        <v>15</v>
      </c>
      <c r="C5" s="7" t="s">
        <v>53</v>
      </c>
      <c r="D5" s="7" t="s">
        <v>7</v>
      </c>
      <c r="E5" s="7" t="s">
        <v>52</v>
      </c>
      <c r="F5" s="8">
        <v>0.17</v>
      </c>
      <c r="G5" s="9">
        <v>2260</v>
      </c>
      <c r="H5" s="9" t="s">
        <v>11</v>
      </c>
    </row>
    <row r="6" spans="2:10" s="10" customFormat="1" x14ac:dyDescent="0.25">
      <c r="B6" s="3" t="s">
        <v>75</v>
      </c>
      <c r="C6" s="7" t="s">
        <v>53</v>
      </c>
      <c r="D6" s="7" t="s">
        <v>76</v>
      </c>
      <c r="E6" s="7" t="s">
        <v>52</v>
      </c>
      <c r="F6" s="17">
        <v>0.14893617021276595</v>
      </c>
      <c r="G6" s="9"/>
      <c r="H6" s="9" t="s">
        <v>11</v>
      </c>
    </row>
    <row r="7" spans="2:10" s="10" customFormat="1" x14ac:dyDescent="0.25">
      <c r="B7" s="6" t="s">
        <v>16</v>
      </c>
      <c r="C7" s="11" t="s">
        <v>54</v>
      </c>
      <c r="D7" s="7" t="s">
        <v>40</v>
      </c>
      <c r="E7" s="7" t="s">
        <v>52</v>
      </c>
      <c r="F7" s="8">
        <v>0.11</v>
      </c>
      <c r="G7" s="9">
        <v>140</v>
      </c>
      <c r="H7" s="9" t="s">
        <v>11</v>
      </c>
    </row>
    <row r="8" spans="2:10" s="10" customFormat="1" x14ac:dyDescent="0.25">
      <c r="B8" s="6" t="s">
        <v>13</v>
      </c>
      <c r="C8" s="7" t="s">
        <v>4</v>
      </c>
      <c r="D8" s="7" t="s">
        <v>40</v>
      </c>
      <c r="E8" s="7" t="s">
        <v>14</v>
      </c>
      <c r="F8" s="8">
        <v>0.11</v>
      </c>
      <c r="G8" s="9">
        <v>7</v>
      </c>
      <c r="H8" s="9" t="s">
        <v>11</v>
      </c>
    </row>
    <row r="9" spans="2:10" s="10" customFormat="1" x14ac:dyDescent="0.25">
      <c r="B9" s="6" t="s">
        <v>18</v>
      </c>
      <c r="C9" s="7" t="s">
        <v>17</v>
      </c>
      <c r="D9" s="7" t="s">
        <v>40</v>
      </c>
      <c r="E9" s="7" t="s">
        <v>52</v>
      </c>
      <c r="F9" s="8">
        <v>0.11</v>
      </c>
      <c r="G9" s="9">
        <v>637</v>
      </c>
      <c r="H9" s="9" t="s">
        <v>11</v>
      </c>
    </row>
    <row r="10" spans="2:10" s="10" customFormat="1" x14ac:dyDescent="0.25">
      <c r="B10" s="6" t="s">
        <v>72</v>
      </c>
      <c r="C10" s="7" t="s">
        <v>19</v>
      </c>
      <c r="D10" s="7" t="s">
        <v>42</v>
      </c>
      <c r="E10" s="7" t="s">
        <v>52</v>
      </c>
      <c r="F10" s="8">
        <v>0.05</v>
      </c>
      <c r="G10" s="9">
        <v>5167</v>
      </c>
      <c r="H10" s="9" t="s">
        <v>11</v>
      </c>
    </row>
    <row r="11" spans="2:10" s="10" customFormat="1" x14ac:dyDescent="0.25">
      <c r="B11" s="6" t="s">
        <v>73</v>
      </c>
      <c r="C11" s="7" t="s">
        <v>53</v>
      </c>
      <c r="D11" s="7" t="s">
        <v>43</v>
      </c>
      <c r="E11" s="7" t="s">
        <v>52</v>
      </c>
      <c r="F11" s="8">
        <v>0.08</v>
      </c>
      <c r="G11" s="9">
        <v>143</v>
      </c>
      <c r="H11" s="9" t="s">
        <v>11</v>
      </c>
    </row>
    <row r="12" spans="2:10" s="10" customFormat="1" x14ac:dyDescent="0.25">
      <c r="B12" s="6" t="s">
        <v>58</v>
      </c>
      <c r="C12" s="7" t="s">
        <v>53</v>
      </c>
      <c r="D12" s="13" t="s">
        <v>26</v>
      </c>
      <c r="E12" s="7" t="s">
        <v>52</v>
      </c>
      <c r="F12" s="8">
        <v>0.04</v>
      </c>
      <c r="G12" s="9">
        <v>0</v>
      </c>
      <c r="H12" s="9" t="s">
        <v>11</v>
      </c>
    </row>
    <row r="13" spans="2:10" s="10" customFormat="1" x14ac:dyDescent="0.25">
      <c r="B13" s="6" t="s">
        <v>59</v>
      </c>
      <c r="C13" s="7" t="s">
        <v>21</v>
      </c>
      <c r="D13" s="7" t="s">
        <v>41</v>
      </c>
      <c r="E13" s="7" t="s">
        <v>52</v>
      </c>
      <c r="F13" s="8">
        <v>0.04</v>
      </c>
      <c r="G13">
        <f>14454+218</f>
        <v>14672</v>
      </c>
      <c r="H13" s="9" t="s">
        <v>11</v>
      </c>
    </row>
    <row r="14" spans="2:10" s="10" customFormat="1" x14ac:dyDescent="0.25">
      <c r="B14" s="12" t="s">
        <v>2</v>
      </c>
      <c r="C14" s="7" t="s">
        <v>53</v>
      </c>
      <c r="D14" s="7" t="s">
        <v>22</v>
      </c>
      <c r="E14" s="7" t="s">
        <v>52</v>
      </c>
      <c r="F14" s="8">
        <v>0.01</v>
      </c>
      <c r="G14" s="9">
        <v>87</v>
      </c>
      <c r="H14" s="9" t="s">
        <v>11</v>
      </c>
    </row>
    <row r="15" spans="2:10" s="10" customFormat="1" x14ac:dyDescent="0.25">
      <c r="B15" s="6" t="s">
        <v>1</v>
      </c>
      <c r="C15" s="7" t="s">
        <v>27</v>
      </c>
      <c r="D15" s="7" t="s">
        <v>42</v>
      </c>
      <c r="E15" s="7" t="s">
        <v>52</v>
      </c>
      <c r="F15" s="8">
        <v>0.01</v>
      </c>
      <c r="G15" s="9">
        <v>0</v>
      </c>
      <c r="H15" s="9" t="s">
        <v>11</v>
      </c>
    </row>
    <row r="16" spans="2:10" s="10" customFormat="1" x14ac:dyDescent="0.25">
      <c r="B16" s="6" t="s">
        <v>29</v>
      </c>
      <c r="C16" s="7" t="s">
        <v>29</v>
      </c>
      <c r="D16" s="7" t="s">
        <v>28</v>
      </c>
      <c r="E16" s="7" t="s">
        <v>52</v>
      </c>
      <c r="F16" s="8">
        <v>0.01</v>
      </c>
      <c r="G16" s="9">
        <v>88</v>
      </c>
      <c r="H16" s="9" t="s">
        <v>11</v>
      </c>
    </row>
    <row r="17" spans="2:8" s="10" customFormat="1" x14ac:dyDescent="0.25">
      <c r="B17" s="6" t="s">
        <v>30</v>
      </c>
      <c r="C17" s="7" t="s">
        <v>33</v>
      </c>
      <c r="D17" s="7" t="s">
        <v>23</v>
      </c>
      <c r="E17" s="7" t="s">
        <v>52</v>
      </c>
      <c r="F17" s="8">
        <v>0.01</v>
      </c>
      <c r="G17" s="9">
        <v>90</v>
      </c>
      <c r="H17" s="9" t="s">
        <v>11</v>
      </c>
    </row>
    <row r="18" spans="2:8" s="10" customFormat="1" x14ac:dyDescent="0.25">
      <c r="B18" s="6" t="s">
        <v>31</v>
      </c>
      <c r="C18" s="7" t="s">
        <v>32</v>
      </c>
      <c r="D18" s="7" t="s">
        <v>24</v>
      </c>
      <c r="E18" s="7" t="s">
        <v>52</v>
      </c>
      <c r="F18" s="8">
        <v>0.01</v>
      </c>
      <c r="G18" s="9">
        <v>82</v>
      </c>
      <c r="H18" s="9" t="s">
        <v>11</v>
      </c>
    </row>
    <row r="19" spans="2:8" s="10" customFormat="1" x14ac:dyDescent="0.25">
      <c r="B19" s="6" t="s">
        <v>60</v>
      </c>
      <c r="C19" s="7" t="s">
        <v>53</v>
      </c>
      <c r="D19" s="7" t="s">
        <v>25</v>
      </c>
      <c r="E19" s="7" t="s">
        <v>52</v>
      </c>
      <c r="F19" s="8">
        <v>0.01</v>
      </c>
      <c r="G19" s="9">
        <v>2152</v>
      </c>
      <c r="H19" s="9" t="s">
        <v>11</v>
      </c>
    </row>
    <row r="20" spans="2:8" s="10" customFormat="1" x14ac:dyDescent="0.25">
      <c r="B20" s="6" t="s">
        <v>34</v>
      </c>
      <c r="C20" s="11" t="s">
        <v>55</v>
      </c>
      <c r="D20" s="7" t="s">
        <v>35</v>
      </c>
      <c r="E20" s="7" t="s">
        <v>52</v>
      </c>
      <c r="F20" s="8">
        <v>0.01</v>
      </c>
      <c r="G20" s="9">
        <v>5</v>
      </c>
      <c r="H20" s="9" t="s">
        <v>11</v>
      </c>
    </row>
    <row r="21" spans="2:8" s="10" customFormat="1" x14ac:dyDescent="0.25">
      <c r="B21" s="6" t="s">
        <v>61</v>
      </c>
      <c r="C21" s="7" t="s">
        <v>53</v>
      </c>
      <c r="D21" s="7" t="s">
        <v>41</v>
      </c>
      <c r="E21" s="7" t="s">
        <v>52</v>
      </c>
      <c r="F21" s="8">
        <v>0.04</v>
      </c>
      <c r="G21" s="9">
        <v>218</v>
      </c>
      <c r="H21" s="9" t="s">
        <v>11</v>
      </c>
    </row>
    <row r="22" spans="2:8" s="10" customFormat="1" x14ac:dyDescent="0.25">
      <c r="B22" s="14" t="s">
        <v>36</v>
      </c>
      <c r="C22" s="7" t="s">
        <v>53</v>
      </c>
      <c r="D22" s="7" t="s">
        <v>37</v>
      </c>
      <c r="E22" s="7" t="s">
        <v>52</v>
      </c>
      <c r="F22" s="8">
        <v>0.01</v>
      </c>
      <c r="G22" s="9">
        <v>6</v>
      </c>
      <c r="H22" s="9" t="s">
        <v>11</v>
      </c>
    </row>
    <row r="23" spans="2:8" s="10" customFormat="1" x14ac:dyDescent="0.25">
      <c r="B23" s="15" t="s">
        <v>20</v>
      </c>
      <c r="C23" s="7" t="s">
        <v>53</v>
      </c>
      <c r="D23" s="7" t="s">
        <v>38</v>
      </c>
      <c r="E23" s="7" t="s">
        <v>52</v>
      </c>
      <c r="F23" s="8">
        <v>0.15</v>
      </c>
      <c r="G23">
        <f>854</f>
        <v>854</v>
      </c>
      <c r="H23" s="9" t="s">
        <v>11</v>
      </c>
    </row>
    <row r="24" spans="2:8" s="10" customFormat="1" x14ac:dyDescent="0.25">
      <c r="B24" s="9" t="s">
        <v>64</v>
      </c>
      <c r="C24" s="7" t="s">
        <v>64</v>
      </c>
      <c r="D24" s="7"/>
      <c r="E24" s="7" t="s">
        <v>52</v>
      </c>
      <c r="F24" s="8">
        <v>0.01</v>
      </c>
      <c r="G24" s="7">
        <v>0</v>
      </c>
      <c r="H24" s="9" t="s">
        <v>11</v>
      </c>
    </row>
    <row r="25" spans="2:8" s="10" customFormat="1" x14ac:dyDescent="0.25">
      <c r="B25" s="9" t="s">
        <v>44</v>
      </c>
      <c r="C25" s="7" t="s">
        <v>44</v>
      </c>
      <c r="D25" s="7"/>
      <c r="E25" s="7" t="s">
        <v>52</v>
      </c>
      <c r="F25" s="8">
        <v>0.01</v>
      </c>
      <c r="G25" s="7">
        <v>95</v>
      </c>
      <c r="H25" s="9" t="s">
        <v>11</v>
      </c>
    </row>
    <row r="26" spans="2:8" s="10" customFormat="1" x14ac:dyDescent="0.25">
      <c r="B26" s="7" t="s">
        <v>62</v>
      </c>
      <c r="C26" s="7" t="s">
        <v>65</v>
      </c>
      <c r="D26" s="7"/>
      <c r="E26" s="7" t="s">
        <v>52</v>
      </c>
      <c r="F26" s="8">
        <v>0.01</v>
      </c>
      <c r="G26" s="7">
        <v>88</v>
      </c>
      <c r="H26" s="9" t="s">
        <v>11</v>
      </c>
    </row>
    <row r="27" spans="2:8" s="10" customFormat="1" x14ac:dyDescent="0.25">
      <c r="B27" s="7" t="s">
        <v>63</v>
      </c>
      <c r="C27" s="7" t="s">
        <v>66</v>
      </c>
      <c r="D27" s="7"/>
      <c r="E27" s="7" t="s">
        <v>52</v>
      </c>
      <c r="F27" s="8">
        <v>0.01</v>
      </c>
      <c r="G27" s="7">
        <v>37564</v>
      </c>
      <c r="H27" s="9" t="s">
        <v>11</v>
      </c>
    </row>
    <row r="28" spans="2:8" s="10" customFormat="1" x14ac:dyDescent="0.25">
      <c r="B28" s="9" t="s">
        <v>45</v>
      </c>
      <c r="C28" s="7" t="s">
        <v>56</v>
      </c>
      <c r="D28" s="7"/>
      <c r="E28" s="7" t="s">
        <v>52</v>
      </c>
      <c r="F28" s="8">
        <v>0.01</v>
      </c>
      <c r="G28" s="7">
        <v>51</v>
      </c>
      <c r="H28" s="9" t="s">
        <v>11</v>
      </c>
    </row>
    <row r="29" spans="2:8" s="10" customFormat="1" x14ac:dyDescent="0.25">
      <c r="B29" s="16" t="s">
        <v>46</v>
      </c>
      <c r="C29" s="7" t="s">
        <v>67</v>
      </c>
      <c r="D29" s="7"/>
      <c r="E29" s="7" t="s">
        <v>52</v>
      </c>
      <c r="F29" s="8">
        <v>0.01</v>
      </c>
      <c r="G29" s="7">
        <v>15</v>
      </c>
      <c r="H29" s="9" t="s">
        <v>11</v>
      </c>
    </row>
    <row r="30" spans="2:8" s="10" customFormat="1" x14ac:dyDescent="0.25">
      <c r="B30" s="16" t="s">
        <v>47</v>
      </c>
      <c r="C30" s="7" t="s">
        <v>57</v>
      </c>
      <c r="D30" s="7"/>
      <c r="E30" s="7" t="s">
        <v>52</v>
      </c>
      <c r="F30" s="8">
        <v>0.01</v>
      </c>
      <c r="G30" s="7">
        <v>37</v>
      </c>
      <c r="H30" s="9" t="s">
        <v>11</v>
      </c>
    </row>
    <row r="31" spans="2:8" s="10" customFormat="1" x14ac:dyDescent="0.25">
      <c r="B31" s="16" t="s">
        <v>48</v>
      </c>
      <c r="C31" s="7" t="s">
        <v>68</v>
      </c>
      <c r="D31" s="7"/>
      <c r="E31" s="7" t="s">
        <v>52</v>
      </c>
      <c r="F31" s="8">
        <v>0.01</v>
      </c>
      <c r="G31" s="7">
        <v>1</v>
      </c>
      <c r="H31" s="9" t="s">
        <v>11</v>
      </c>
    </row>
    <row r="32" spans="2:8" s="10" customFormat="1" x14ac:dyDescent="0.25">
      <c r="B32" s="16" t="s">
        <v>49</v>
      </c>
      <c r="C32" s="7" t="s">
        <v>69</v>
      </c>
      <c r="D32" s="7"/>
      <c r="E32" s="7" t="s">
        <v>52</v>
      </c>
      <c r="F32" s="8">
        <v>0.01</v>
      </c>
      <c r="G32" s="7">
        <v>1</v>
      </c>
      <c r="H32" s="9" t="s">
        <v>11</v>
      </c>
    </row>
    <row r="33" spans="2:8" s="10" customFormat="1" x14ac:dyDescent="0.25">
      <c r="B33" s="16" t="s">
        <v>50</v>
      </c>
      <c r="C33" s="7" t="s">
        <v>70</v>
      </c>
      <c r="D33" s="7"/>
      <c r="E33" s="7" t="s">
        <v>52</v>
      </c>
      <c r="F33" s="8">
        <v>0.01</v>
      </c>
      <c r="G33" s="7">
        <v>416</v>
      </c>
      <c r="H33" s="9" t="s">
        <v>11</v>
      </c>
    </row>
    <row r="34" spans="2:8" s="10" customFormat="1" x14ac:dyDescent="0.25">
      <c r="B34" s="16" t="s">
        <v>74</v>
      </c>
      <c r="C34" s="7" t="s">
        <v>71</v>
      </c>
      <c r="D34" s="7"/>
      <c r="E34" s="13" t="s">
        <v>52</v>
      </c>
      <c r="F34" s="8">
        <v>0.01</v>
      </c>
      <c r="G34" s="7">
        <v>140</v>
      </c>
      <c r="H34" s="9" t="s">
        <v>11</v>
      </c>
    </row>
    <row r="35" spans="2:8" s="10" customFormat="1" x14ac:dyDescent="0.25">
      <c r="B35" s="16" t="s">
        <v>51</v>
      </c>
      <c r="C35" s="7" t="s">
        <v>70</v>
      </c>
      <c r="D35" s="7"/>
      <c r="E35" s="7" t="s">
        <v>52</v>
      </c>
      <c r="F35" s="8">
        <v>0.01</v>
      </c>
      <c r="G35" s="7">
        <v>83</v>
      </c>
      <c r="H35" s="9" t="s">
        <v>11</v>
      </c>
    </row>
  </sheetData>
  <autoFilter ref="A1:H35" xr:uid="{00000000-0001-0000-0000-000000000000}">
    <sortState xmlns:xlrd2="http://schemas.microsoft.com/office/spreadsheetml/2017/richdata2" ref="A12:H21">
      <sortCondition ref="D1:D2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MNK</cp:lastModifiedBy>
  <dcterms:created xsi:type="dcterms:W3CDTF">2024-11-16T08:03:45Z</dcterms:created>
  <dcterms:modified xsi:type="dcterms:W3CDTF">2026-03-08T04:54:59Z</dcterms:modified>
</cp:coreProperties>
</file>